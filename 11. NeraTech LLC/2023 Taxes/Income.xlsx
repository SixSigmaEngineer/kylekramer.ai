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192.168.68.73\WorkStuff_Kyle\NeraTech LLC\2023 Taxes\"/>
    </mc:Choice>
  </mc:AlternateContent>
  <xr:revisionPtr revIDLastSave="0" documentId="13_ncr:1_{05DF0260-4D69-4B91-B800-3C32BB8D8EB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2023 SE Tax Ded Wk Lines 1&amp;9" sheetId="1" r:id="rId1"/>
    <sheet name="Estimated Taxes" sheetId="2" r:id="rId2"/>
    <sheet name="Company Info" sheetId="4" r:id="rId3"/>
    <sheet name="Income_Expense" sheetId="3" r:id="rId4"/>
    <sheet name="CR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F26" i="2"/>
  <c r="F24" i="2"/>
  <c r="F23" i="2"/>
  <c r="F21" i="2"/>
  <c r="F19" i="2"/>
  <c r="F18" i="2"/>
  <c r="F16" i="2"/>
  <c r="F13" i="2"/>
  <c r="F12" i="2"/>
  <c r="F12" i="1"/>
  <c r="F13" i="1" s="1"/>
  <c r="F14" i="1" s="1"/>
  <c r="F15" i="1" s="1"/>
  <c r="L10" i="3"/>
  <c r="F9" i="2"/>
  <c r="F11" i="1"/>
  <c r="F7" i="1"/>
  <c r="F8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tc={65D862DE-0319-4492-BE93-A3F016DC73F4}</author>
  </authors>
  <commentList>
    <comment ref="E10" authorId="0" shapeId="0" xr:uid="{65D862DE-0319-4492-BE93-A3F016DC73F4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line 6 asking for? Is this total expected income when filing jointly?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tc={8BF2A25B-727E-4600-85A7-A1D59C7AB2D5}</author>
    <author>tc={FF3AB9B7-FB6D-4E2F-B504-E4714EEE677E}</author>
    <author>tc={5627F0BD-FE1F-45DE-94E3-E0A5FDB193CC}</author>
  </authors>
  <commentList>
    <comment ref="E10" authorId="0" shapeId="0" xr:uid="{8BF2A25B-727E-4600-85A7-A1D59C7AB2D5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with standard deduction - is it better to itemize? What does this look like?</t>
      </text>
    </comment>
    <comment ref="E15" authorId="1" shapeId="0" xr:uid="{FF3AB9B7-FB6D-4E2F-B504-E4714EEE677E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form 6251 is this needed?</t>
      </text>
    </comment>
    <comment ref="E17" authorId="2" shapeId="0" xr:uid="{5627F0BD-FE1F-45DE-94E3-E0A5FDB193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the instructions clearly state credits haha</t>
      </text>
    </comment>
  </commentList>
</comments>
</file>

<file path=xl/sharedStrings.xml><?xml version="1.0" encoding="utf-8"?>
<sst xmlns="http://schemas.openxmlformats.org/spreadsheetml/2006/main" count="104" uniqueCount="62">
  <si>
    <t>1a</t>
  </si>
  <si>
    <t>1b</t>
  </si>
  <si>
    <t>This result is added on line 9 of your 2023 estimated tax worksheet</t>
  </si>
  <si>
    <t>This is your expected deduction for self-employment tax on From 1040, line 15. Subtract this amount when figuring your expected AGI on line 1 of your 2023 estimated tax worksheet</t>
  </si>
  <si>
    <t>Married Filing Jointly - SMLLC with Passthrough Taxation</t>
  </si>
  <si>
    <t>1040-ES Form 2023 Estimated Tax Worksheet</t>
  </si>
  <si>
    <t>Your W2</t>
  </si>
  <si>
    <t>Spouse W2</t>
  </si>
  <si>
    <t>LLC Earnings</t>
  </si>
  <si>
    <t>Total</t>
  </si>
  <si>
    <t>2a</t>
  </si>
  <si>
    <t>Date</t>
  </si>
  <si>
    <t>Description</t>
  </si>
  <si>
    <t>Category</t>
  </si>
  <si>
    <t>Amount</t>
  </si>
  <si>
    <t>Payment Method</t>
  </si>
  <si>
    <t>Tax Deductible</t>
  </si>
  <si>
    <t>Notes</t>
  </si>
  <si>
    <t>Drone Videography Services</t>
  </si>
  <si>
    <t>148 Rosewood Lane Gray TN for Erin Depriest</t>
  </si>
  <si>
    <t>No</t>
  </si>
  <si>
    <t>Venmo</t>
  </si>
  <si>
    <t>Real Estate Photo</t>
  </si>
  <si>
    <t>Year Total</t>
  </si>
  <si>
    <t>Miles Driven</t>
  </si>
  <si>
    <t>Company Name:</t>
  </si>
  <si>
    <t>NeraTech LLC.</t>
  </si>
  <si>
    <t>EIN #:</t>
  </si>
  <si>
    <t>Operating Agreement:</t>
  </si>
  <si>
    <t>Created</t>
  </si>
  <si>
    <t>ECU Bank Account:</t>
  </si>
  <si>
    <t>Opened</t>
  </si>
  <si>
    <t>SOS Control #</t>
  </si>
  <si>
    <t>Filing Date</t>
  </si>
  <si>
    <t>Annual Report Due</t>
  </si>
  <si>
    <t>93-3699354</t>
  </si>
  <si>
    <t>568 Beidleman Creek Rd Bristol TN 37620</t>
  </si>
  <si>
    <t>1017 Windsor Ave Bristol TN 37620</t>
  </si>
  <si>
    <t>2839 Highland Glen Ct Johnson City TN</t>
  </si>
  <si>
    <t>5745 Hester Ct. Piney Flats 37686</t>
  </si>
  <si>
    <t>1494 and 1476 Prospects Way</t>
  </si>
  <si>
    <t>51 Quail Ridge Way Jonesborough TN</t>
  </si>
  <si>
    <t>Customer</t>
  </si>
  <si>
    <t>Katy Gouge</t>
  </si>
  <si>
    <t>Erin DePriest</t>
  </si>
  <si>
    <t>641 Bowmantown Rd Telford TN 37690</t>
  </si>
  <si>
    <t>200 Crum Ln Chuckey TN</t>
  </si>
  <si>
    <t>Name</t>
  </si>
  <si>
    <t>Phone</t>
  </si>
  <si>
    <t>Email</t>
  </si>
  <si>
    <t>Matt Lorencen</t>
  </si>
  <si>
    <t>2b</t>
  </si>
  <si>
    <t>2c</t>
  </si>
  <si>
    <t>11a</t>
  </si>
  <si>
    <t>11b</t>
  </si>
  <si>
    <t>11c</t>
  </si>
  <si>
    <t>12a</t>
  </si>
  <si>
    <t>12b</t>
  </si>
  <si>
    <t>12c</t>
  </si>
  <si>
    <t>14a</t>
  </si>
  <si>
    <t>14b</t>
  </si>
  <si>
    <t>001471447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</si>
</sst>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7" fontId="3" fillId="0" borderId="0" xfId="0" applyNumberFormat="1" applyFont="1" applyAlignment="1">
      <alignment horizontal="center"/>
    </xf>
    <xf numFmtId="7" fontId="0" fillId="0" borderId="0" xfId="0" applyNumberFormat="1" applyAlignment="1">
      <alignment horizontal="center" wrapText="1"/>
    </xf>
    <xf numFmtId="7" fontId="0" fillId="0" borderId="0" xfId="0" applyNumberFormat="1" applyAlignment="1">
      <alignment horizontal="center"/>
    </xf>
    <xf numFmtId="7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1" formatCode="&quot;$&quot;#,##0.00_);\(&quot;$&quot;#,##0.00\)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m/d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23</xdr:row>
      <xdr:rowOff>0</xdr:rowOff>
    </xdr:from>
    <xdr:to>
      <xdr:col>30</xdr:col>
      <xdr:colOff>392026</xdr:colOff>
      <xdr:row>53</xdr:row>
      <xdr:rowOff>181798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30E78-266C-62C2-3C26-6F84C5FD0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0" y="4381500"/>
          <a:ext cx="10755226" cy="589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533400</xdr:colOff>
      <xdr:row>0</xdr:row>
      <xdr:rowOff>0</xdr:rowOff>
    </xdr:from>
    <xdr:to>
      <xdr:col>27</xdr:col>
      <xdr:colOff>429631</xdr:colOff>
      <xdr:row>38</xdr:row>
      <xdr:rowOff>10543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146DA-131B-BA93-23C1-D03308F7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0"/>
          <a:ext cx="7211431" cy="7297168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0</xdr:row>
      <xdr:rowOff>0</xdr:rowOff>
    </xdr:from>
    <xdr:to>
      <xdr:col>15</xdr:col>
      <xdr:colOff>228601</xdr:colOff>
      <xdr:row>3</xdr:row>
      <xdr:rowOff>130992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988CC8-74FF-9BCB-054A-EE0DCC9E6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1" y="0"/>
          <a:ext cx="3810000" cy="750117"/>
        </a:xfrm>
        <a:prstGeom prst="rect">
          <a:avLst/>
        </a:prstGeom>
      </xdr:spPr>
    </xdr:pic>
    <xdr:clientData/>
  </xdr:twoCellAnchor>
  <xdr:twoCellAnchor editAs="oneCell">
    <xdr:from>
      <xdr:col>8</xdr:col>
      <xdr:colOff>559715</xdr:colOff>
      <xdr:row>4</xdr:row>
      <xdr:rowOff>28575</xdr:rowOff>
    </xdr:from>
    <xdr:to>
      <xdr:col>15</xdr:col>
      <xdr:colOff>315015</xdr:colOff>
      <xdr:row>18</xdr:row>
      <xdr:rowOff>105246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A7CD61-B8F2-9573-9A80-C32BD84D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9865" y="838200"/>
          <a:ext cx="4022500" cy="27436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552450</xdr:colOff>
      <xdr:row>1</xdr:row>
      <xdr:rowOff>161925</xdr:rowOff>
    </xdr:from>
    <xdr:to>
      <xdr:col>23</xdr:col>
      <xdr:colOff>238125</xdr:colOff>
      <xdr:row>21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CB260D-F809-6C1B-CF05-F09487304CA3}"/>
            </a:ext>
          </a:extLst>
        </xdr:cNvPr>
        <xdr:cNvSpPr txBox="1"/>
      </xdr:nvSpPr>
      <xdr:spPr>
        <a:xfrm>
          <a:off x="13058775" y="352425"/>
          <a:ext cx="2733675" cy="340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Bank Account with ECU for NeraTech:</a:t>
          </a:r>
        </a:p>
        <a:p>
          <a:endParaRPr lang="en-US" sz="1100"/>
        </a:p>
        <a:p>
          <a:r>
            <a:rPr lang="en-US" sz="1100"/>
            <a:t>Routing</a:t>
          </a:r>
          <a:r>
            <a:rPr lang="en-US" sz="1100" baseline="0"/>
            <a:t> #: </a:t>
          </a:r>
          <a:r>
            <a:rPr lang="en-US" sz="1100"/>
            <a:t>264279350	</a:t>
          </a:r>
        </a:p>
        <a:p>
          <a:endParaRPr lang="en-US" sz="1100"/>
        </a:p>
        <a:p>
          <a:r>
            <a:rPr lang="en-US" sz="1100"/>
            <a:t>Account #: 116994379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ECU Member #</a:t>
          </a:r>
        </a:p>
        <a:p>
          <a:endParaRPr lang="en-US" sz="1100"/>
        </a:p>
        <a:p>
          <a:r>
            <a:rPr lang="en-US" sz="1100"/>
            <a:t>8000617031</a:t>
          </a:r>
        </a:p>
        <a:p>
          <a:endParaRPr lang="en-US" sz="1100"/>
        </a:p>
        <a:p>
          <a:r>
            <a:rPr lang="en-US" sz="1100"/>
            <a:t>Becky Burchell opened</a:t>
          </a:r>
          <a:r>
            <a:rPr lang="en-US" sz="1100" baseline="0"/>
            <a:t> account</a:t>
          </a:r>
        </a:p>
        <a:p>
          <a:r>
            <a:rPr lang="en-US" sz="1100" baseline="0"/>
            <a:t>bburchell@ecu.org</a:t>
          </a:r>
        </a:p>
        <a:p>
          <a:r>
            <a:rPr lang="en-US" sz="1100" baseline="0"/>
            <a:t>423-230-3363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Login: NeraTech</a:t>
          </a:r>
        </a:p>
        <a:p>
          <a:r>
            <a:rPr lang="en-US" sz="1100" baseline="0"/>
            <a:t>Arace123456?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yle Kramer" id="{8AC62B2D-8116-49C2-9A85-E421973E3A5A}" userId="e787e1815e33704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7C48B-55BE-4AD8-8AEB-F71160E98005}" name="Table1" displayName="Table1" ref="A1:I10" totalsRowShown="0" headerRowDxfId="10" dataDxfId="9">
  <autoFilter ref="A1:I10" xr:uid="{C4E7C48B-55BE-4AD8-8AEB-F71160E98005}"/>
  <tableColumns count="9">
    <tableColumn id="1" xr3:uid="{A1051715-AEA1-462F-AA86-907973982C08}" name="Date" dataDxfId="8"/>
    <tableColumn id="2" xr3:uid="{A63FF342-A3BC-404A-B78E-629159EF8978}" name="Description" dataDxfId="7"/>
    <tableColumn id="3" xr3:uid="{127DD765-A546-47EB-931B-66158F88E468}" name="Category" dataDxfId="6"/>
    <tableColumn id="4" xr3:uid="{896198B1-B849-4D9B-A7BC-866FCA11CD5D}" name="Amount" dataDxfId="5"/>
    <tableColumn id="5" xr3:uid="{11499734-0CFA-43A2-A951-797667F8DF4B}" name="Payment Method" dataDxfId="4"/>
    <tableColumn id="6" xr3:uid="{5D09118E-0CD9-48BE-8830-98FD77E143F4}" name="Tax Deductible" dataDxfId="3"/>
    <tableColumn id="9" xr3:uid="{B977138F-5A6C-4EF4-BA65-70EFD5F2EB70}" name="Customer" dataDxfId="2"/>
    <tableColumn id="7" xr3:uid="{CC559038-87E2-4AB7-871A-4267607BB011}" name="Notes" dataDxfId="1"/>
    <tableColumn id="8" xr3:uid="{20165810-AC1F-4C93-8032-4C3B15BF9685}" name="Miles Drive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3-11-25T16:43:09.48" personId="{8AC62B2D-8116-49C2-9A85-E421973E3A5A}" id="{65D862DE-0319-4492-BE93-A3F016DC73F4}">
    <text>What is line 6 asking for? Is this total expected income when filing jointly?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0" dT="2023-11-25T16:48:10.65" personId="{8AC62B2D-8116-49C2-9A85-E421973E3A5A}" id="{8BF2A25B-727E-4600-85A7-A1D59C7AB2D5}">
    <text>Going with standard deduction - is it better to itemize? What does this look like?</text>
  </threadedComment>
  <threadedComment ref="E15" dT="2023-11-25T16:52:22.82" personId="{8AC62B2D-8116-49C2-9A85-E421973E3A5A}" id="{FF3AB9B7-FB6D-4E2F-B504-E4714EEE677E}">
    <text>What is form 6251 is this needed?</text>
  </threadedComment>
  <threadedComment ref="E17" dT="2023-11-25T16:53:54.33" personId="{8AC62B2D-8116-49C2-9A85-E421973E3A5A}" id="{5627F0BD-FE1F-45DE-94E3-E0A5FDB193CC}">
    <text>Not sure the instructions clearly state credits haha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H15"/>
  <sheetViews>
    <sheetView workbookViewId="0">
      <selection activeCell="H7" sqref="H7"/>
    </sheetView>
  </sheetViews>
  <sheetFormatPr defaultRowHeight="15" x14ac:dyDescent="0.25"/>
  <cols>
    <col min="5" max="5" width="9.140625" style="2"/>
    <col min="6" max="6" width="11.140625" style="1" bestFit="1" customWidth="1"/>
  </cols>
  <sheetData>
    <row r="4" spans="5:8" x14ac:dyDescent="0.25">
      <c r="E4" s="2" t="s">
        <v>0</v>
      </c>
      <c r="F4" s="1">
        <v>2000</v>
      </c>
    </row>
    <row r="5" spans="5:8" x14ac:dyDescent="0.25">
      <c r="E5" s="2" t="s">
        <v>1</v>
      </c>
      <c r="F5" s="1">
        <v>0</v>
      </c>
    </row>
    <row r="6" spans="5:8" x14ac:dyDescent="0.25">
      <c r="E6" s="2">
        <v>2</v>
      </c>
      <c r="F6" s="1">
        <f>F4-F5</f>
        <v>2000</v>
      </c>
    </row>
    <row r="7" spans="5:8" x14ac:dyDescent="0.25">
      <c r="E7" s="2">
        <v>3</v>
      </c>
      <c r="F7" s="1">
        <f>F6*0.9235</f>
        <v>1847</v>
      </c>
    </row>
    <row r="8" spans="5:8" x14ac:dyDescent="0.25">
      <c r="E8" s="2">
        <v>4</v>
      </c>
      <c r="F8" s="1">
        <f>F7*0.029</f>
        <v>53.563000000000002</v>
      </c>
    </row>
    <row r="9" spans="5:8" x14ac:dyDescent="0.25">
      <c r="E9" s="2">
        <v>5</v>
      </c>
      <c r="F9" s="1">
        <v>160200</v>
      </c>
    </row>
    <row r="10" spans="5:8" x14ac:dyDescent="0.25">
      <c r="E10" s="2">
        <v>6</v>
      </c>
      <c r="F10" s="1">
        <v>132000</v>
      </c>
    </row>
    <row r="11" spans="5:8" x14ac:dyDescent="0.25">
      <c r="E11" s="2">
        <v>7</v>
      </c>
      <c r="F11" s="1">
        <f>F9-F10</f>
        <v>28200</v>
      </c>
    </row>
    <row r="12" spans="5:8" x14ac:dyDescent="0.25">
      <c r="E12" s="2">
        <v>8</v>
      </c>
      <c r="F12" s="1">
        <f>MIN(F7,F11)</f>
        <v>1847</v>
      </c>
    </row>
    <row r="13" spans="5:8" x14ac:dyDescent="0.25">
      <c r="E13" s="2">
        <v>9</v>
      </c>
      <c r="F13" s="1">
        <f>F12*0.124</f>
        <v>229.02799999999999</v>
      </c>
    </row>
    <row r="14" spans="5:8" x14ac:dyDescent="0.25">
      <c r="E14" s="2">
        <v>10</v>
      </c>
      <c r="F14" s="1">
        <f>F8+F13</f>
        <v>282.59100000000001</v>
      </c>
      <c r="H14" t="s">
        <v>2</v>
      </c>
    </row>
    <row r="15" spans="5:8" x14ac:dyDescent="0.25">
      <c r="E15" s="2">
        <v>11</v>
      </c>
      <c r="F15" s="1">
        <f>F14*0.5</f>
        <v>141.2955</v>
      </c>
      <c r="H15" t="s">
        <v>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3060-7BC1-4729-A94C-1CFBB5B7C8A3}">
  <dimension ref="A1:G30"/>
  <sheetViews>
    <sheetView workbookViewId="0">
      <selection activeCell="G31" sqref="G31"/>
    </sheetView>
  </sheetViews>
  <sheetFormatPr defaultRowHeight="15" x14ac:dyDescent="0.25"/>
  <cols>
    <col min="5" max="5" width="9.140625" style="2"/>
    <col min="6" max="6" width="11.140625" style="1" bestFit="1" customWidth="1"/>
  </cols>
  <sheetData>
    <row r="1" spans="1:7" ht="18.75" x14ac:dyDescent="0.3">
      <c r="A1" s="3" t="s">
        <v>5</v>
      </c>
    </row>
    <row r="2" spans="1:7" x14ac:dyDescent="0.25">
      <c r="A2" s="4" t="s">
        <v>4</v>
      </c>
    </row>
    <row r="6" spans="1:7" x14ac:dyDescent="0.25">
      <c r="F6" s="1">
        <v>132000</v>
      </c>
      <c r="G6" t="s">
        <v>6</v>
      </c>
    </row>
    <row r="7" spans="1:7" x14ac:dyDescent="0.25">
      <c r="F7" s="1">
        <v>55000</v>
      </c>
      <c r="G7" t="s">
        <v>7</v>
      </c>
    </row>
    <row r="8" spans="1:7" x14ac:dyDescent="0.25">
      <c r="F8" s="1">
        <v>2000</v>
      </c>
      <c r="G8" t="s">
        <v>8</v>
      </c>
    </row>
    <row r="9" spans="1:7" x14ac:dyDescent="0.25">
      <c r="E9" s="2">
        <v>1</v>
      </c>
      <c r="F9" s="1">
        <f>SUM(F6:F8)</f>
        <v>189000</v>
      </c>
      <c r="G9" t="s">
        <v>9</v>
      </c>
    </row>
    <row r="10" spans="1:7" x14ac:dyDescent="0.25">
      <c r="E10" s="2" t="s">
        <v>10</v>
      </c>
      <c r="F10" s="1">
        <v>27700</v>
      </c>
    </row>
    <row r="11" spans="1:7" x14ac:dyDescent="0.25">
      <c r="E11" s="2" t="s">
        <v>51</v>
      </c>
      <c r="F11" s="1">
        <v>0</v>
      </c>
    </row>
    <row r="12" spans="1:7" x14ac:dyDescent="0.25">
      <c r="E12" s="2" t="s">
        <v>52</v>
      </c>
      <c r="F12" s="1">
        <f>F10+F11</f>
        <v>27700</v>
      </c>
    </row>
    <row r="13" spans="1:7" x14ac:dyDescent="0.25">
      <c r="E13" s="2">
        <v>3</v>
      </c>
      <c r="F13" s="1">
        <f>F9-F12</f>
        <v>161300</v>
      </c>
    </row>
    <row r="14" spans="1:7" x14ac:dyDescent="0.25">
      <c r="E14" s="2">
        <v>4</v>
      </c>
      <c r="F14" s="1">
        <v>10294</v>
      </c>
    </row>
    <row r="15" spans="1:7" x14ac:dyDescent="0.25">
      <c r="E15" s="2">
        <v>5</v>
      </c>
      <c r="F15" s="1">
        <v>0</v>
      </c>
    </row>
    <row r="16" spans="1:7" x14ac:dyDescent="0.25">
      <c r="E16" s="2">
        <v>6</v>
      </c>
      <c r="F16" s="1">
        <f>F14+F15</f>
        <v>10294</v>
      </c>
    </row>
    <row r="17" spans="5:6" x14ac:dyDescent="0.25">
      <c r="E17" s="2">
        <v>7</v>
      </c>
      <c r="F17" s="1">
        <v>0</v>
      </c>
    </row>
    <row r="18" spans="5:6" x14ac:dyDescent="0.25">
      <c r="E18" s="2">
        <v>8</v>
      </c>
      <c r="F18" s="1">
        <f>F16-F17</f>
        <v>10294</v>
      </c>
    </row>
    <row r="19" spans="5:6" x14ac:dyDescent="0.25">
      <c r="E19" s="2">
        <v>9</v>
      </c>
      <c r="F19" s="1">
        <f>'2023 SE Tax Ded Wk Lines 1&amp;9'!F14</f>
        <v>282.59100000000001</v>
      </c>
    </row>
    <row r="20" spans="5:6" x14ac:dyDescent="0.25">
      <c r="E20" s="2">
        <v>10</v>
      </c>
      <c r="F20" s="1">
        <v>0</v>
      </c>
    </row>
    <row r="21" spans="5:6" x14ac:dyDescent="0.25">
      <c r="E21" s="2" t="s">
        <v>53</v>
      </c>
      <c r="F21" s="1">
        <f>F18+F19+F20</f>
        <v>10576.591</v>
      </c>
    </row>
    <row r="22" spans="5:6" x14ac:dyDescent="0.25">
      <c r="E22" s="2" t="s">
        <v>54</v>
      </c>
      <c r="F22" s="1">
        <v>0</v>
      </c>
    </row>
    <row r="23" spans="5:6" x14ac:dyDescent="0.25">
      <c r="E23" s="2" t="s">
        <v>55</v>
      </c>
      <c r="F23" s="1">
        <f>F21-F22</f>
        <v>10576.591</v>
      </c>
    </row>
    <row r="24" spans="5:6" x14ac:dyDescent="0.25">
      <c r="E24" s="2" t="s">
        <v>56</v>
      </c>
      <c r="F24" s="1">
        <f>F23*0.9</f>
        <v>9518.9319000000014</v>
      </c>
    </row>
    <row r="25" spans="5:6" x14ac:dyDescent="0.25">
      <c r="E25" s="2" t="s">
        <v>57</v>
      </c>
      <c r="F25" s="1">
        <f>F23*0.9</f>
        <v>9518.9319000000014</v>
      </c>
    </row>
    <row r="26" spans="5:6" x14ac:dyDescent="0.25">
      <c r="E26" s="2" t="s">
        <v>58</v>
      </c>
      <c r="F26" s="1">
        <f>MIN(F24:F25)</f>
        <v>9518.9319000000014</v>
      </c>
    </row>
    <row r="27" spans="5:6" x14ac:dyDescent="0.25">
      <c r="E27" s="2">
        <v>13</v>
      </c>
    </row>
    <row r="28" spans="5:6" x14ac:dyDescent="0.25">
      <c r="E28" s="2" t="s">
        <v>59</v>
      </c>
    </row>
    <row r="29" spans="5:6" x14ac:dyDescent="0.25">
      <c r="E29" s="2" t="s">
        <v>60</v>
      </c>
    </row>
    <row r="30" spans="5:6" x14ac:dyDescent="0.25">
      <c r="E30" s="2">
        <v>15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14E7-ED8F-4C21-A7F4-4754D5592321}">
  <dimension ref="D2:G8"/>
  <sheetViews>
    <sheetView tabSelected="1" workbookViewId="0">
      <selection activeCell="F10" sqref="F10"/>
    </sheetView>
  </sheetViews>
  <sheetFormatPr defaultRowHeight="15" x14ac:dyDescent="0.25"/>
  <cols>
    <col min="4" max="4" width="21.140625" bestFit="1" customWidth="1"/>
    <col min="5" max="5" width="20.140625" customWidth="1"/>
    <col min="6" max="6" width="18" bestFit="1" customWidth="1"/>
    <col min="7" max="7" width="9.7109375" bestFit="1" customWidth="1"/>
  </cols>
  <sheetData>
    <row r="2" spans="4:7" x14ac:dyDescent="0.25">
      <c r="F2" t="s">
        <v>34</v>
      </c>
      <c r="G2" s="13">
        <v>45597</v>
      </c>
    </row>
    <row r="3" spans="4:7" x14ac:dyDescent="0.25">
      <c r="D3" t="s">
        <v>25</v>
      </c>
      <c r="E3" t="s">
        <v>26</v>
      </c>
    </row>
    <row r="4" spans="4:7" x14ac:dyDescent="0.25">
      <c r="D4" t="s">
        <v>27</v>
      </c>
      <c r="E4" t="s">
        <v>35</v>
      </c>
    </row>
    <row r="5" spans="4:7" x14ac:dyDescent="0.25">
      <c r="D5" t="s">
        <v>32</v>
      </c>
      <c r="E5" s="14" t="s">
        <v>61</v>
      </c>
    </row>
    <row r="6" spans="4:7" x14ac:dyDescent="0.25">
      <c r="D6" t="s">
        <v>33</v>
      </c>
      <c r="E6" s="12">
        <v>45199</v>
      </c>
    </row>
    <row r="7" spans="4:7" x14ac:dyDescent="0.25">
      <c r="D7" t="s">
        <v>28</v>
      </c>
      <c r="E7" t="s">
        <v>29</v>
      </c>
    </row>
    <row r="8" spans="4:7" x14ac:dyDescent="0.25">
      <c r="D8" t="s">
        <v>30</v>
      </c>
      <c r="E8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530C-1182-4C07-83F8-27CA3B33D73F}">
  <dimension ref="A1:L10"/>
  <sheetViews>
    <sheetView workbookViewId="0">
      <selection activeCell="L7" sqref="L7"/>
    </sheetView>
  </sheetViews>
  <sheetFormatPr defaultRowHeight="15" x14ac:dyDescent="0.25"/>
  <cols>
    <col min="1" max="1" width="9.7109375" style="2" bestFit="1" customWidth="1"/>
    <col min="2" max="2" width="18.5703125" style="2" customWidth="1"/>
    <col min="3" max="3" width="16.42578125" style="2" customWidth="1"/>
    <col min="4" max="4" width="15.28515625" style="10" customWidth="1"/>
    <col min="5" max="5" width="21.28515625" style="2" customWidth="1"/>
    <col min="6" max="7" width="18.28515625" style="2" customWidth="1"/>
    <col min="8" max="8" width="44.7109375" style="2" customWidth="1"/>
    <col min="9" max="9" width="22.5703125" style="2" customWidth="1"/>
    <col min="10" max="10" width="9.140625" style="2"/>
    <col min="11" max="11" width="12.28515625" style="2" customWidth="1"/>
    <col min="12" max="12" width="9.85546875" style="2" bestFit="1" customWidth="1"/>
    <col min="13" max="16384" width="9.140625" style="2"/>
  </cols>
  <sheetData>
    <row r="1" spans="1:12" x14ac:dyDescent="0.25">
      <c r="A1" s="7" t="s">
        <v>11</v>
      </c>
      <c r="B1" s="7" t="s">
        <v>12</v>
      </c>
      <c r="C1" s="7" t="s">
        <v>13</v>
      </c>
      <c r="D1" s="8" t="s">
        <v>14</v>
      </c>
      <c r="E1" s="7" t="s">
        <v>15</v>
      </c>
      <c r="F1" s="7" t="s">
        <v>16</v>
      </c>
      <c r="G1" s="7" t="s">
        <v>42</v>
      </c>
      <c r="H1" s="7" t="s">
        <v>17</v>
      </c>
      <c r="I1" s="7" t="s">
        <v>24</v>
      </c>
    </row>
    <row r="2" spans="1:12" ht="30" x14ac:dyDescent="0.25">
      <c r="A2" s="5">
        <v>45001</v>
      </c>
      <c r="B2" s="6" t="s">
        <v>18</v>
      </c>
      <c r="C2" s="6" t="s">
        <v>22</v>
      </c>
      <c r="D2" s="9">
        <v>100</v>
      </c>
      <c r="E2" s="6" t="s">
        <v>21</v>
      </c>
      <c r="F2" s="6" t="s">
        <v>20</v>
      </c>
      <c r="G2" s="6" t="s">
        <v>43</v>
      </c>
      <c r="H2" s="6" t="s">
        <v>46</v>
      </c>
      <c r="I2" s="6">
        <v>22.6</v>
      </c>
    </row>
    <row r="3" spans="1:12" ht="30" x14ac:dyDescent="0.25">
      <c r="A3" s="5">
        <v>45028</v>
      </c>
      <c r="B3" s="6" t="s">
        <v>18</v>
      </c>
      <c r="C3" s="6" t="s">
        <v>22</v>
      </c>
      <c r="D3" s="9">
        <v>100</v>
      </c>
      <c r="E3" s="6" t="s">
        <v>21</v>
      </c>
      <c r="F3" s="6" t="s">
        <v>20</v>
      </c>
      <c r="G3" s="6" t="s">
        <v>43</v>
      </c>
      <c r="H3" s="6" t="s">
        <v>45</v>
      </c>
      <c r="I3" s="6">
        <v>13.3</v>
      </c>
    </row>
    <row r="4" spans="1:12" ht="30" x14ac:dyDescent="0.25">
      <c r="A4" s="5">
        <v>45076</v>
      </c>
      <c r="B4" s="6" t="s">
        <v>18</v>
      </c>
      <c r="C4" s="6" t="s">
        <v>22</v>
      </c>
      <c r="D4" s="9">
        <v>100</v>
      </c>
      <c r="E4" s="6" t="s">
        <v>21</v>
      </c>
      <c r="F4" s="6" t="s">
        <v>20</v>
      </c>
      <c r="G4" s="6" t="s">
        <v>43</v>
      </c>
      <c r="H4" s="6" t="s">
        <v>41</v>
      </c>
      <c r="I4" s="6">
        <v>6.5</v>
      </c>
    </row>
    <row r="5" spans="1:12" ht="30" x14ac:dyDescent="0.25">
      <c r="A5" s="5">
        <v>45101</v>
      </c>
      <c r="B5" s="6" t="s">
        <v>18</v>
      </c>
      <c r="C5" s="6" t="s">
        <v>22</v>
      </c>
      <c r="D5" s="9">
        <v>200</v>
      </c>
      <c r="E5" s="6" t="s">
        <v>21</v>
      </c>
      <c r="F5" s="6" t="s">
        <v>20</v>
      </c>
      <c r="G5" s="6" t="s">
        <v>43</v>
      </c>
      <c r="H5" s="6" t="s">
        <v>40</v>
      </c>
      <c r="I5" s="6">
        <v>8.6999999999999993</v>
      </c>
    </row>
    <row r="6" spans="1:12" ht="30" x14ac:dyDescent="0.25">
      <c r="A6" s="5">
        <v>45115</v>
      </c>
      <c r="B6" s="6" t="s">
        <v>18</v>
      </c>
      <c r="C6" s="6" t="s">
        <v>22</v>
      </c>
      <c r="D6" s="9">
        <v>100</v>
      </c>
      <c r="E6" s="6" t="s">
        <v>21</v>
      </c>
      <c r="F6" s="6" t="s">
        <v>20</v>
      </c>
      <c r="G6" s="6" t="s">
        <v>43</v>
      </c>
      <c r="H6" s="6" t="s">
        <v>39</v>
      </c>
      <c r="I6" s="6">
        <v>9.4</v>
      </c>
    </row>
    <row r="7" spans="1:12" ht="30" x14ac:dyDescent="0.25">
      <c r="A7" s="5">
        <v>45138</v>
      </c>
      <c r="B7" s="6" t="s">
        <v>18</v>
      </c>
      <c r="C7" s="6" t="s">
        <v>22</v>
      </c>
      <c r="D7" s="9">
        <v>100</v>
      </c>
      <c r="E7" s="6" t="s">
        <v>21</v>
      </c>
      <c r="F7" s="6" t="s">
        <v>20</v>
      </c>
      <c r="G7" s="6" t="s">
        <v>43</v>
      </c>
      <c r="H7" s="6" t="s">
        <v>38</v>
      </c>
      <c r="I7" s="6">
        <v>5.0999999999999996</v>
      </c>
    </row>
    <row r="8" spans="1:12" ht="30" x14ac:dyDescent="0.25">
      <c r="A8" s="5">
        <v>45159</v>
      </c>
      <c r="B8" s="6" t="s">
        <v>18</v>
      </c>
      <c r="C8" s="6" t="s">
        <v>22</v>
      </c>
      <c r="D8" s="9">
        <v>100</v>
      </c>
      <c r="E8" s="6" t="s">
        <v>21</v>
      </c>
      <c r="F8" s="6" t="s">
        <v>20</v>
      </c>
      <c r="G8" s="6" t="s">
        <v>44</v>
      </c>
      <c r="H8" s="6" t="s">
        <v>37</v>
      </c>
      <c r="I8" s="6">
        <v>23</v>
      </c>
    </row>
    <row r="9" spans="1:12" ht="30" x14ac:dyDescent="0.25">
      <c r="A9" s="5">
        <v>45183</v>
      </c>
      <c r="B9" s="6" t="s">
        <v>18</v>
      </c>
      <c r="C9" s="6" t="s">
        <v>22</v>
      </c>
      <c r="D9" s="9">
        <v>100</v>
      </c>
      <c r="E9" s="6" t="s">
        <v>21</v>
      </c>
      <c r="F9" s="6" t="s">
        <v>20</v>
      </c>
      <c r="G9" s="6" t="s">
        <v>44</v>
      </c>
      <c r="H9" s="6" t="s">
        <v>36</v>
      </c>
      <c r="I9" s="6">
        <v>25.4</v>
      </c>
    </row>
    <row r="10" spans="1:12" ht="30" x14ac:dyDescent="0.25">
      <c r="A10" s="5">
        <v>45205</v>
      </c>
      <c r="B10" s="6" t="s">
        <v>18</v>
      </c>
      <c r="C10" s="6" t="s">
        <v>22</v>
      </c>
      <c r="D10" s="9">
        <v>100</v>
      </c>
      <c r="E10" s="6" t="s">
        <v>21</v>
      </c>
      <c r="F10" s="6" t="s">
        <v>20</v>
      </c>
      <c r="G10" s="6" t="s">
        <v>44</v>
      </c>
      <c r="H10" s="6" t="s">
        <v>19</v>
      </c>
      <c r="I10" s="6">
        <v>5.6</v>
      </c>
      <c r="K10" s="7" t="s">
        <v>23</v>
      </c>
      <c r="L10" s="11">
        <f>SUM(D:D)</f>
        <v>1000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E075-7197-404A-8A41-5AEA01711C6A}">
  <dimension ref="A1:D4"/>
  <sheetViews>
    <sheetView workbookViewId="0">
      <selection activeCell="A4" sqref="A4"/>
    </sheetView>
  </sheetViews>
  <sheetFormatPr defaultRowHeight="15" x14ac:dyDescent="0.25"/>
  <cols>
    <col min="1" max="1" width="26.28515625" style="2" customWidth="1"/>
    <col min="2" max="2" width="45.28515625" style="2" customWidth="1"/>
    <col min="3" max="3" width="50.7109375" style="2" customWidth="1"/>
    <col min="4" max="4" width="62.140625" style="2" customWidth="1"/>
    <col min="5" max="16384" width="9.140625" style="2"/>
  </cols>
  <sheetData>
    <row r="1" spans="1:4" x14ac:dyDescent="0.25">
      <c r="A1" s="2" t="s">
        <v>47</v>
      </c>
      <c r="B1" s="2" t="s">
        <v>48</v>
      </c>
      <c r="C1" s="2" t="s">
        <v>49</v>
      </c>
      <c r="D1" s="2" t="s">
        <v>17</v>
      </c>
    </row>
    <row r="2" spans="1:4" x14ac:dyDescent="0.25">
      <c r="A2" s="2" t="s">
        <v>43</v>
      </c>
    </row>
    <row r="3" spans="1:4" x14ac:dyDescent="0.25">
      <c r="A3" s="2" t="s">
        <v>50</v>
      </c>
    </row>
    <row r="4" spans="1:4" x14ac:dyDescent="0.25">
      <c r="A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2023 SE Tax Ded Wk Lines 1&amp;9</vt:lpstr>
      <vt:lpstr>Estimated Taxes</vt:lpstr>
      <vt:lpstr>Company Info</vt:lpstr>
      <vt:lpstr>Income_Expense</vt:lpstr>
      <vt:lpstr>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Kramer</dc:creator>
  <cp:lastModifiedBy>Kyle Kramer</cp:lastModifiedBy>
  <dcterms:created xsi:type="dcterms:W3CDTF">2015-06-05T18:17:20Z</dcterms:created>
  <dcterms:modified xsi:type="dcterms:W3CDTF">2023-11-30T15:25:15Z</dcterms:modified>
</cp:coreProperties>
</file>